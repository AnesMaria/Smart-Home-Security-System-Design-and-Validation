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ae0ee0da5545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7047ff7f8f249cc"/>
    <x:sheet xmlns:r="http://schemas.openxmlformats.org/officeDocument/2006/relationships" name="Sensors" sheetId="2" r:id="R67baad836dc245ce"/>
    <x:sheet xmlns:r="http://schemas.openxmlformats.org/officeDocument/2006/relationships" name="Cameras" sheetId="3" r:id="R89d8ad1eca344e5b"/>
    <x:sheet xmlns:r="http://schemas.openxmlformats.org/officeDocument/2006/relationships" name="Controllers" sheetId="4" r:id="R0d6bc781b9914ccb"/>
    <x:sheet xmlns:r="http://schemas.openxmlformats.org/officeDocument/2006/relationships" name="Server_Manager" sheetId="5" r:id="R84e20b25dd914b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0.00"/>
  </x:numFmts>
  <x:fonts count="1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3F3F3F"/>
      <x:name val="Carlito"/>
    </x:font>
    <x:font>
      <x:b/>
      <x:sz val="11"/>
      <x:color rgb="FFE67E22"/>
      <x:name val="Carlito"/>
    </x:font>
    <x:font>
      <x:b/>
      <x:sz val="16"/>
      <x:color rgb="FFFFFFFF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1"/>
      <x:color rgb="FF3F3F3F"/>
      <x:name val="Aptos"/>
    </x:font>
    <x:font>
      <x:b/>
      <x:sz val="11"/>
      <x:color rgb="FFE67E22"/>
      <x:name val="Aptos"/>
    </x:font>
    <x:font>
      <x:b/>
      <x:sz val="15"/>
      <x:color rgb="FFFFFFFF"/>
      <x:name val="Carlito"/>
    </x:font>
    <x:font>
      <x:i/>
      <x:sz val="11"/>
      <x:color rgb="FF6B6B6B"/>
      <x:name val="Carlito"/>
    </x:font>
    <x:font>
      <x:sz val="11"/>
      <x:color rgb="FF3F3F3F"/>
      <x:name val="Carlito"/>
    </x:font>
    <x:font>
      <x:b/>
      <x:sz val="15"/>
      <x:color rgb="FFFFFFFF"/>
      <x:name val="Aptos"/>
    </x:font>
    <x:font>
      <x:i/>
      <x:sz val="11"/>
      <x:color rgb="FF6B6B6B"/>
      <x:name val="Aptos"/>
    </x:font>
    <x:font>
      <x:sz val="11"/>
      <x:color rgb="FF3F3F3F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3F3F3F"/>
      </x:patternFill>
    </x:fill>
    <x:fill>
      <x:patternFill patternType="solid">
        <x:fgColor rgb="FFE67E22"/>
      </x:patternFill>
    </x:fill>
    <x:fill>
      <x:patternFill patternType="solid">
        <x:fgColor rgb="FFFCE7D6"/>
      </x:patternFill>
    </x:fill>
    <x:fill>
      <x:patternFill patternType="solid">
        <x:fgColor rgb="FFF2F2F2"/>
      </x:patternFill>
    </x:fill>
  </x:fills>
  <x:borders count="2">
    <x:border/>
    <x:border/>
  </x:borders>
  <x:cellStyleXfs count="1">
    <x:xf numFmtId="0" fontId="0" fillId="0" borderId="0"/>
  </x:cellStyleXfs>
  <x:cellXfs count="1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/>
    <x:xf numFmtId="0" fontId="7" fillId="3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 applyAlignment="1">
      <x:alignment vertical="top" wrapText="1"/>
    </x:xf>
    <x:xf numFmtId="0" fontId="5" fillId="2" borderId="1" xfId="0" applyNumberFormat="1" applyFont="1" applyFill="1" applyBorder="1" applyAlignment="1">
      <x:alignment horizontal="center" vertical="center"/>
    </x:xf>
    <x:xf numFmtId="0" fontId="6" fillId="0" borderId="1" xfId="0" applyNumberFormat="1" applyFont="1" applyFill="1" applyBorder="1"/>
    <x:xf numFmtId="0" fontId="7" fillId="3" borderId="1" xfId="0" applyNumberFormat="1" applyFont="1" applyFill="1" applyBorder="1" applyAlignment="1">
      <x:alignment horizontal="center" vertical="center" wrapText="1"/>
    </x:xf>
    <x:xf numFmtId="0" fontId="8" fillId="0" borderId="1" xfId="0" applyNumberFormat="1" applyFont="1" applyFill="1" applyBorder="1" applyAlignment="1">
      <x:alignment vertical="top" wrapText="1"/>
    </x:xf>
    <x:xf numFmtId="0" fontId="6" fillId="4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horizontal="center"/>
    </x:xf>
    <x:xf numFmtId="0" fontId="10" fillId="2" borderId="0" xfId="0" applyNumberFormat="1" applyFont="1" applyFill="1" applyBorder="1" applyAlignment="1">
      <x:alignment horizontal="center" vertical="center"/>
    </x:xf>
    <x:xf numFmtId="0" fontId="10" fillId="2" borderId="1" xfId="0" applyNumberFormat="1" applyFont="1" applyFill="1" applyBorder="1"/>
    <x:xf numFmtId="0" fontId="10" fillId="2" borderId="1" xfId="0" applyNumberFormat="1" applyFont="1" applyFill="1" applyBorder="1" applyAlignment="1">
      <x:alignment horizontal="center"/>
    </x:xf>
    <x:xf numFmtId="0" fontId="10" fillId="2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11" fillId="5" borderId="0" xfId="0" applyNumberFormat="1" applyFont="1" applyFill="1" applyBorder="1"/>
    <x:xf numFmtId="0" fontId="11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11" fillId="5" borderId="1" xfId="0" applyNumberFormat="1" applyFont="1" applyFill="1" applyBorder="1"/>
    <x:xf numFmtId="0" fontId="11" fillId="5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1" fontId="3" fillId="4" borderId="0" xfId="0" applyNumberFormat="1" applyFont="1" applyFill="1" applyBorder="1"/>
    <x:xf numFmtId="201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1" fontId="3" fillId="4" borderId="1" xfId="0" applyNumberFormat="1" applyFont="1" applyFill="1" applyBorder="1"/>
    <x:xf numFmtId="201" fontId="3" fillId="4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2" fillId="5" borderId="0" xfId="0" applyNumberFormat="1" applyFont="1" applyFill="1" applyBorder="1" applyAlignment="1">
      <x:alignment vertical="top" wrapText="1"/>
    </x:xf>
    <x:xf numFmtId="0" fontId="12" fillId="5" borderId="1" xfId="0" applyNumberFormat="1" applyFont="1" applyFill="1" applyBorder="1"/>
    <x:xf numFmtId="0" fontId="12" fillId="5" borderId="1" xfId="0" applyNumberFormat="1" applyFont="1" applyFill="1" applyBorder="1" applyAlignment="1">
      <x:alignment wrapText="1"/>
    </x:xf>
    <x:xf numFmtId="0" fontId="12" fillId="5" borderId="1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vertical="top" wrapText="1"/>
    </x:xf>
    <x:xf numFmtId="0" fontId="13" fillId="2" borderId="0" xfId="0" applyNumberFormat="1" applyFont="1" applyFill="1" applyBorder="1" applyAlignment="1">
      <x:alignment horizontal="center" vertical="center"/>
    </x:xf>
    <x:xf numFmtId="0" fontId="14" fillId="5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20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vertical="top" wrapText="1"/>
    </x:xf>
    <x:xf numFmtId="0" fontId="15" fillId="5" borderId="0" xfId="0" applyNumberFormat="1" applyFont="1" applyFill="1" applyBorder="1" applyAlignment="1">
      <x:alignment vertical="top" wrapText="1"/>
    </x:xf>
    <x:xf numFmtId="0" fontId="13" fillId="2" borderId="1" xfId="0" applyNumberFormat="1" applyFont="1" applyFill="1" applyBorder="1" applyAlignment="1">
      <x:alignment horizontal="center" vertical="center"/>
    </x:xf>
    <x:xf numFmtId="0" fontId="14" fillId="5" borderId="1" xfId="0" applyNumberFormat="1" applyFont="1" applyFill="1" applyBorder="1" applyAlignment="1">
      <x:alignment wrapText="1"/>
    </x:xf>
    <x:xf numFmtId="0" fontId="8" fillId="0" borderId="1" xfId="0" applyNumberFormat="1" applyFont="1" applyFill="1" applyBorder="1" applyAlignment="1">
      <x:alignment wrapText="1"/>
    </x:xf>
    <x:xf numFmtId="200" fontId="6" fillId="0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/>
    <x:xf numFmtId="201" fontId="8" fillId="4" borderId="1" xfId="0" applyNumberFormat="1" applyFont="1" applyFill="1" applyBorder="1" applyAlignment="1">
      <x:alignment horizontal="center"/>
    </x:xf>
    <x:xf numFmtId="0" fontId="8" fillId="4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vertical="top" wrapText="1"/>
    </x:xf>
    <x:xf numFmtId="0" fontId="15" fillId="5" borderId="1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center"/>
    </x:xf>
    <x:xf numFmtId="0" fontId="14" fillId="5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0" fontId="8" fillId="5" borderId="0" xfId="0" applyNumberFormat="1" applyFont="1" applyFill="1" applyBorder="1" applyAlignment="1">
      <x:alignment vertical="center"/>
    </x:xf>
    <x:xf numFmtId="201" fontId="8" fillId="4" borderId="0" xfId="0" applyNumberFormat="1" applyFont="1" applyFill="1" applyBorder="1" applyAlignment="1">
      <x:alignment horizontal="center" vertical="center"/>
    </x:xf>
    <x:xf numFmtId="0" fontId="8" fillId="4" borderId="0" xfId="0" applyNumberFormat="1" applyFont="1" applyFill="1" applyBorder="1" applyAlignment="1">
      <x:alignment vertical="center" wrapText="1"/>
    </x:xf>
    <x:xf numFmtId="0" fontId="8" fillId="5" borderId="0" xfId="0" applyNumberFormat="1" applyFont="1" applyFill="1" applyBorder="1" applyAlignment="1">
      <x:alignment vertical="center" wrapText="1"/>
    </x:xf>
    <x:xf numFmtId="0" fontId="15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center"/>
    </x:xf>
    <x:xf numFmtId="0" fontId="14" fillId="5" borderId="1" xfId="0" applyNumberFormat="1" applyFont="1" applyFill="1" applyBorder="1" applyAlignment="1">
      <x:alignment vertical="center" wrapText="1"/>
    </x:xf>
    <x:xf numFmtId="0" fontId="8" fillId="0" borderId="1" xfId="0" applyNumberFormat="1" applyFont="1" applyFill="1" applyBorder="1" applyAlignment="1">
      <x:alignment vertical="center" wrapText="1"/>
    </x:xf>
    <x:xf numFmtId="200" fontId="6" fillId="0" borderId="1" xfId="0" applyNumberFormat="1" applyFont="1" applyFill="1" applyBorder="1" applyAlignment="1">
      <x:alignment vertical="center" wrapText="1"/>
    </x:xf>
    <x:xf numFmtId="0" fontId="6" fillId="0" borderId="1" xfId="0" applyNumberFormat="1" applyFont="1" applyFill="1" applyBorder="1" applyAlignment="1">
      <x:alignment vertical="center" wrapText="1"/>
    </x:xf>
    <x:xf numFmtId="0" fontId="8" fillId="5" borderId="1" xfId="0" applyNumberFormat="1" applyFont="1" applyFill="1" applyBorder="1" applyAlignment="1">
      <x:alignment vertical="center"/>
    </x:xf>
    <x:xf numFmtId="201" fontId="8" fillId="4" borderId="1" xfId="0" applyNumberFormat="1" applyFont="1" applyFill="1" applyBorder="1" applyAlignment="1">
      <x:alignment horizontal="center" vertical="center"/>
    </x:xf>
    <x:xf numFmtId="0" fontId="8" fillId="4" borderId="1" xfId="0" applyNumberFormat="1" applyFont="1" applyFill="1" applyBorder="1" applyAlignment="1">
      <x:alignment vertical="center" wrapText="1"/>
    </x:xf>
    <x:xf numFmtId="0" fontId="8" fillId="5" borderId="1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201" fontId="8" fillId="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1" fontId="8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543f42aa8a4560" /><Relationship Type="http://schemas.openxmlformats.org/officeDocument/2006/relationships/theme" Target="/xl/theme/theme1.xml" Id="R81f31d2bfb884b6c" /><Relationship Type="http://schemas.openxmlformats.org/officeDocument/2006/relationships/sharedStrings" Target="/xl/sharedStrings.xml" Id="R67512d0987bd4ee8" /><Relationship Type="http://schemas.openxmlformats.org/officeDocument/2006/relationships/worksheet" Target="/xl/worksheets/sheet1.xml" Id="Rf7047ff7f8f249cc" /><Relationship Type="http://schemas.openxmlformats.org/officeDocument/2006/relationships/worksheet" Target="/xl/worksheets/sheet2.xml" Id="R67baad836dc245ce" /><Relationship Type="http://schemas.openxmlformats.org/officeDocument/2006/relationships/worksheet" Target="/xl/worksheets/sheet3.xml" Id="R89d8ad1eca344e5b" /><Relationship Type="http://schemas.openxmlformats.org/officeDocument/2006/relationships/worksheet" Target="/xl/worksheets/sheet4.xml" Id="R0d6bc781b9914ccb" /><Relationship Type="http://schemas.openxmlformats.org/officeDocument/2006/relationships/worksheet" Target="/xl/worksheets/sheet5.xml" Id="R84e20b25dd914b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52" hidden="0" customWidth="1"/>
    <x:col min="4" max="4" width="22" hidden="0" customWidth="1"/>
    <x:col min="5" max="5" width="40" hidden="0" customWidth="1"/>
    <x:col min="6" max="6" width="14" hidden="0" customWidth="1"/>
  </x:cols>
  <x:sheetData>
    <x:row r="1" ht="30" customHeight="1">
      <x:c r="A1" s="30" t="str">
        <x:v>Smart Home Security System - Tradeoff Evaluation</x:v>
      </x:c>
      <x:c r="B1" s="30"/>
      <x:c r="C1" s="30"/>
      <x:c r="D1" s="30"/>
      <x:c r="E1" s="30"/>
      <x:c r="F1" s="30"/>
    </x:row>
    <x:row r="2">
      <x:c r="A2" s="31"/>
      <x:c r="B2" s="31"/>
      <x:c r="C2" s="31"/>
      <x:c r="D2" s="31"/>
      <x:c r="E2" s="31"/>
      <x:c r="F2" s="31"/>
    </x:row>
    <x:row r="3">
      <x:c r="A3" s="32" t="str">
        <x:v>Component</x:v>
      </x:c>
      <x:c r="B3" s="32" t="str">
        <x:v>Selected Option</x:v>
      </x:c>
      <x:c r="C3" s="32" t="str">
        <x:v>Decision Rationale</x:v>
      </x:c>
      <x:c r="D3" s="32" t="str">
        <x:v>Score Scale</x:v>
      </x:c>
      <x:c r="E3" s="32" t="str">
        <x:v>Architecture Impact</x:v>
      </x:c>
      <x:c r="F3" s="32" t="str">
        <x:v>Status</x:v>
      </x:c>
    </x:row>
    <x:row r="4">
      <x:c r="A4" s="33" t="str">
        <x:v>Sensors</x:v>
      </x:c>
      <x:c r="B4" s="34" t="str">
        <x:v>Zigbee battery-powered sensors</x:v>
      </x:c>
      <x:c r="C4" s="35" t="str">
        <x:v>Selected for a consistent low-power mesh across sensors and controllers. Z-Wave scores slightly higher numerically, but the 0.05 gap is too small to justify an additional radio ecosystem and gateway.</x:v>
      </x:c>
      <x:c r="D4" s="35" t="str">
        <x:v>1 (poor) to 5 (excellent)</x:v>
      </x:c>
      <x:c r="E4" s="35" t="str">
        <x:v>Single Zigbee coordinator supports the low-power device layer.</x:v>
      </x:c>
      <x:c r="F4" s="36" t="str">
        <x:v>Selected</x:v>
      </x:c>
    </x:row>
    <x:row r="5">
      <x:c r="A5" s="33" t="str">
        <x:v>Cameras</x:v>
      </x:c>
      <x:c r="B5" s="34" t="str">
        <x:v>Wired PoE IP cameras</x:v>
      </x:c>
      <x:c r="C5" s="35" t="str">
        <x:v>Selected because security video benefits from stable power, predictable latency, and local network reliability more than installation convenience.</x:v>
      </x:c>
      <x:c r="D5" s="35" t="str">
        <x:v>1 (poor) to 5 (excellent)</x:v>
      </x:c>
      <x:c r="E5" s="35" t="str">
        <x:v>Cameras connect through the local LAN/PoE switch.</x:v>
      </x:c>
      <x:c r="F5" s="36" t="str">
        <x:v>Selected</x:v>
      </x:c>
    </x:row>
    <x:row r="6">
      <x:c r="A6" s="33" t="str">
        <x:v>Controllers</x:v>
      </x:c>
      <x:c r="B6" s="34" t="str">
        <x:v>Zigbee smart-device controllers</x:v>
      </x:c>
      <x:c r="C6" s="35" t="str">
        <x:v>Selected to keep lock, lighting, and siren control local and aligned with the sensor network.</x:v>
      </x:c>
      <x:c r="D6" s="35" t="str">
        <x:v>1 (poor) to 5 (excellent)</x:v>
      </x:c>
      <x:c r="E6" s="35" t="str">
        <x:v>Controllers share the Zigbee mesh used by sensors.</x:v>
      </x:c>
      <x:c r="F6" s="36" t="str">
        <x:v>Selected</x:v>
      </x:c>
    </x:row>
    <x:row r="7">
      <x:c r="A7" s="33" t="str">
        <x:v>Server / Manager</x:v>
      </x:c>
      <x:c r="B7" s="34" t="str">
        <x:v>Hybrid edge + cloud</x:v>
      </x:c>
      <x:c r="C7" s="35" t="str">
        <x:v>Selected so intrusion detection and alarms remain local while remote access, notifications, and backup use cloud services when available.</x:v>
      </x:c>
      <x:c r="D7" s="35" t="str">
        <x:v>1 (poor) to 5 (excellent)</x:v>
      </x:c>
      <x:c r="E7" s="35" t="str">
        <x:v>Local-first operation with cloud augmentation and graceful degradation.</x:v>
      </x:c>
      <x:c r="F7" s="36" t="str">
        <x:v>Selected</x:v>
      </x:c>
    </x:row>
    <x:row r="8">
      <x:c r="A8" s="33" t="str">
        <x:v>Method</x:v>
      </x:c>
      <x:c r="B8" s="35" t="str">
        <x:v>Weighted decision matrix</x:v>
      </x:c>
      <x:c r="C8" s="35" t="str">
        <x:v>Each option is rated from 1 to 5. Weighted score = SUM(weight x rating) / SUM(weights).</x:v>
      </x:c>
      <x:c r="D8" s="35" t="str">
        <x:v>Higher is better</x:v>
      </x:c>
      <x:c r="E8" s="35" t="str">
        <x:v>Weights total 100%.</x:v>
      </x:c>
      <x:c r="F8" s="36" t="str">
        <x:v>Complete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" hidden="0" customWidth="1"/>
    <x:col min="3" max="3" width="22" hidden="0" customWidth="1"/>
    <x:col min="4" max="4" width="22" hidden="0" customWidth="1"/>
    <x:col min="5" max="5" width="22" hidden="0" customWidth="1"/>
  </x:cols>
  <x:sheetData>
    <x:row r="1" ht="28" customHeight="1">
      <x:c r="A1" s="82" t="str">
        <x:v>Decision Matrix - Sensor Connectivity</x:v>
      </x:c>
      <x:c r="B1" s="82"/>
      <x:c r="C1" s="82"/>
      <x:c r="D1" s="82"/>
      <x:c r="E1" s="82"/>
    </x:row>
    <x:row r="2">
      <x:c r="A2" s="102"/>
      <x:c r="B2" s="102"/>
      <x:c r="C2" s="102"/>
      <x:c r="D2" s="102"/>
      <x:c r="E2" s="102"/>
    </x:row>
    <x:row r="3">
      <x:c r="A3" s="103" t="str">
        <x:v>Scoring: 1 = poor, 5 = excellent. Weights total 100%. Higher weighted score is better.</x:v>
      </x:c>
      <x:c r="B3" s="103"/>
      <x:c r="C3" s="103"/>
      <x:c r="D3" s="103"/>
      <x:c r="E3" s="103"/>
    </x:row>
    <x:row r="4">
      <x:c r="A4" s="106"/>
      <x:c r="B4" s="106"/>
      <x:c r="C4" s="106"/>
      <x:c r="D4" s="106"/>
      <x:c r="E4" s="106"/>
    </x:row>
    <x:row r="5">
      <x:c r="A5" s="32" t="str">
        <x:v>Criterion</x:v>
      </x:c>
      <x:c r="B5" s="32" t="str">
        <x:v>Weight</x:v>
      </x:c>
      <x:c r="C5" s="32" t="str">
        <x:v>Zigbee sensors</x:v>
      </x:c>
      <x:c r="D5" s="32" t="str">
        <x:v>Z-Wave sensors</x:v>
      </x:c>
      <x:c r="E5" s="32" t="str">
        <x:v>Wi-Fi sensors</x:v>
      </x:c>
    </x:row>
    <x:row r="6">
      <x:c r="A6" s="104" t="str">
        <x:v>Battery life</x:v>
      </x:c>
      <x:c r="B6" s="105" t="n">
        <x:v>0.2</x:v>
      </x:c>
      <x:c r="C6" s="106" t="n">
        <x:v>5</x:v>
      </x:c>
      <x:c r="D6" s="106" t="n">
        <x:v>5</x:v>
      </x:c>
      <x:c r="E6" s="106" t="n">
        <x:v>2</x:v>
      </x:c>
    </x:row>
    <x:row r="7">
      <x:c r="A7" s="104" t="str">
        <x:v>Communication reliability</x:v>
      </x:c>
      <x:c r="B7" s="105" t="n">
        <x:v>0.2</x:v>
      </x:c>
      <x:c r="C7" s="106" t="n">
        <x:v>4</x:v>
      </x:c>
      <x:c r="D7" s="106" t="n">
        <x:v>5</x:v>
      </x:c>
      <x:c r="E7" s="106" t="n">
        <x:v>3</x:v>
      </x:c>
    </x:row>
    <x:row r="8">
      <x:c r="A8" s="104" t="str">
        <x:v>Mesh / range</x:v>
      </x:c>
      <x:c r="B8" s="105" t="n">
        <x:v>0.15</x:v>
      </x:c>
      <x:c r="C8" s="106" t="n">
        <x:v>5</x:v>
      </x:c>
      <x:c r="D8" s="106" t="n">
        <x:v>5</x:v>
      </x:c>
      <x:c r="E8" s="106" t="n">
        <x:v>3</x:v>
      </x:c>
    </x:row>
    <x:row r="9">
      <x:c r="A9" s="104" t="str">
        <x:v>Security</x:v>
      </x:c>
      <x:c r="B9" s="105" t="n">
        <x:v>0.15</x:v>
      </x:c>
      <x:c r="C9" s="106" t="n">
        <x:v>4</x:v>
      </x:c>
      <x:c r="D9" s="106" t="n">
        <x:v>5</x:v>
      </x:c>
      <x:c r="E9" s="106" t="n">
        <x:v>4</x:v>
      </x:c>
    </x:row>
    <x:row r="10">
      <x:c r="A10" s="104" t="str">
        <x:v>Interoperability</x:v>
      </x:c>
      <x:c r="B10" s="105" t="n">
        <x:v>0.1</x:v>
      </x:c>
      <x:c r="C10" s="106" t="n">
        <x:v>5</x:v>
      </x:c>
      <x:c r="D10" s="106" t="n">
        <x:v>4</x:v>
      </x:c>
      <x:c r="E10" s="106" t="n">
        <x:v>5</x:v>
      </x:c>
    </x:row>
    <x:row r="11">
      <x:c r="A11" s="104" t="str">
        <x:v>Cost</x:v>
      </x:c>
      <x:c r="B11" s="105" t="n">
        <x:v>0.1</x:v>
      </x:c>
      <x:c r="C11" s="106" t="n">
        <x:v>5</x:v>
      </x:c>
      <x:c r="D11" s="106" t="n">
        <x:v>3</x:v>
      </x:c>
      <x:c r="E11" s="106" t="n">
        <x:v>4</x:v>
      </x:c>
    </x:row>
    <x:row r="12">
      <x:c r="A12" s="104" t="str">
        <x:v>Local operation</x:v>
      </x:c>
      <x:c r="B12" s="105" t="n">
        <x:v>0.1</x:v>
      </x:c>
      <x:c r="C12" s="106" t="n">
        <x:v>5</x:v>
      </x:c>
      <x:c r="D12" s="106" t="n">
        <x:v>5</x:v>
      </x:c>
      <x:c r="E12" s="106" t="n">
        <x:v>4</x:v>
      </x:c>
    </x:row>
    <x:row r="13">
      <x:c r="A13" s="106"/>
      <x:c r="B13" s="106"/>
      <x:c r="C13" s="106"/>
      <x:c r="D13" s="106"/>
      <x:c r="E13" s="106"/>
    </x:row>
    <x:row r="14">
      <x:c r="A14" s="110" t="str">
        <x:v>Weighted score</x:v>
      </x:c>
      <x:c r="B14" s="110"/>
      <x:c r="C14" s="124" t="n">
        <x:f>($B$6*C6+$B$7*C7+$B$8*C8+$B$9*C9+$B$10*C10+$B$11*C11+$B$12*C12)/SUM($B$6:$B$12)</x:f>
        <x:v>4.65</x:v>
      </x:c>
      <x:c r="D14" s="124" t="n">
        <x:f>($B$6*D6+$B$7*D7+$B$8*D8+$B$9*D9+$B$10*D10+$B$11*D11+$B$12*D12)/SUM($B$6:$B$12)</x:f>
        <x:v>4.7</x:v>
      </x:c>
      <x:c r="E14" s="124" t="n">
        <x:f>($B$6*E6+$B$7*E7+$B$8*E8+$B$9*E9+$B$10*E10+$B$11*E11+$B$12*E12)/SUM($B$6:$B$12)</x:f>
        <x:v>3.3499999999999996</x:v>
      </x:c>
    </x:row>
    <x:row r="15">
      <x:c r="A15" s="106"/>
      <x:c r="B15" s="106"/>
      <x:c r="C15" s="106"/>
      <x:c r="D15" s="106"/>
      <x:c r="E15" s="106"/>
    </x:row>
    <x:row r="16">
      <x:c r="A16" s="109" t="str">
        <x:v>Selected design</x:v>
      </x:c>
      <x:c r="B16" s="109" t="str">
        <x:v>Zigbee battery-powered sensors</x:v>
      </x:c>
      <x:c r="C16" s="109"/>
      <x:c r="D16" s="109"/>
      <x:c r="E16" s="109"/>
    </x:row>
    <x:row r="17">
      <x:c r="A17" s="110" t="str">
        <x:v>Selection rationale</x:v>
      </x:c>
      <x:c r="B17" s="111" t="str">
        <x:v>The raw scores are nearly tied (Z-Wave is only 0.05 higher). I kept Zigbee because the architecture already uses Zigbee controllers. One shared mesh/coordinator reduces gateway complexity, maintenance effort, and interoperability risk while preserving battery life and local operation.</x:v>
      </x:c>
      <x:c r="C17" s="111"/>
      <x:c r="D17" s="111"/>
      <x:c r="E17" s="111"/>
    </x:row>
    <x:row r="18">
      <x:c r="A18" s="125"/>
      <x:c r="B18" s="125"/>
      <x:c r="C18" s="125"/>
      <x:c r="D18" s="125"/>
      <x:c r="E18" s="125"/>
    </x:row>
    <x:row r="19">
      <x:c r="A19" s="125"/>
      <x:c r="B19" s="125"/>
      <x:c r="C19" s="125"/>
      <x:c r="D19" s="125"/>
      <x:c r="E19" s="125"/>
    </x:row>
    <x:row r="20">
      <x:c r="A20" s="125"/>
      <x:c r="B20" s="125"/>
      <x:c r="C20" s="125"/>
      <x:c r="D20" s="125"/>
      <x:c r="E20" s="125"/>
    </x:row>
    <x:row r="21">
      <x:c r="A21" s="125"/>
      <x:c r="B21" s="125"/>
      <x:c r="C21" s="125"/>
      <x:c r="D21" s="125"/>
      <x:c r="E21" s="125"/>
    </x:row>
    <x:row r="22">
      <x:c r="A22" s="125"/>
      <x:c r="B22" s="125"/>
      <x:c r="C22" s="125"/>
      <x:c r="D22" s="125"/>
      <x:c r="E22" s="125"/>
    </x:row>
    <x:row r="23">
      <x:c r="A23" s="125"/>
      <x:c r="B23" s="125"/>
      <x:c r="C23" s="125"/>
      <x:c r="D23" s="125"/>
      <x:c r="E23" s="125"/>
    </x:row>
    <x:row r="24">
      <x:c r="A24" s="125"/>
      <x:c r="B24" s="125"/>
      <x:c r="C24" s="125"/>
      <x:c r="D24" s="125"/>
      <x:c r="E24" s="125"/>
    </x:row>
    <x:row r="25">
      <x:c r="A25" s="125"/>
      <x:c r="B25" s="125"/>
      <x:c r="C25" s="125"/>
      <x:c r="D25" s="125"/>
      <x:c r="E25" s="125"/>
    </x:row>
    <x:row r="26">
      <x:c r="A26" s="125"/>
      <x:c r="B26" s="125"/>
      <x:c r="C26" s="125"/>
      <x:c r="D26" s="125"/>
      <x:c r="E26" s="125"/>
    </x:row>
    <x:row r="27">
      <x:c r="A27" s="125"/>
      <x:c r="B27" s="125"/>
      <x:c r="C27" s="125"/>
      <x:c r="D27" s="125"/>
      <x:c r="E27" s="125"/>
    </x:row>
    <x:row r="28">
      <x:c r="A28" s="125"/>
      <x:c r="B28" s="125"/>
      <x:c r="C28" s="125"/>
      <x:c r="D28" s="125"/>
      <x:c r="E28" s="125"/>
    </x:row>
    <x:row r="29">
      <x:c r="A29" s="125"/>
      <x:c r="B29" s="125"/>
      <x:c r="C29" s="125"/>
      <x:c r="D29" s="125"/>
      <x:c r="E29" s="125"/>
    </x:row>
    <x:row r="30">
      <x:c r="A30" s="125"/>
      <x:c r="B30" s="125"/>
      <x:c r="C30" s="125"/>
      <x:c r="D30" s="125"/>
      <x:c r="E30" s="125"/>
    </x:row>
  </x:sheetData>
  <x:mergeCells>
    <x:mergeCell ref="A1:E1"/>
    <x:mergeCell ref="A3:E3"/>
    <x:mergeCell ref="B16:E16"/>
    <x:mergeCell ref="B17:E1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28" customHeight="1">
      <x:c r="A1" s="82" t="str">
        <x:v>Decision Matrix - Security Camera Type</x:v>
      </x:c>
      <x:c r="B1" s="82"/>
      <x:c r="C1" s="82"/>
      <x:c r="D1" s="82"/>
      <x:c r="E1" s="82"/>
      <x:c r="F1" s="31"/>
    </x:row>
    <x:row r="2">
      <x:c r="A2" s="102"/>
      <x:c r="B2" s="102"/>
      <x:c r="C2" s="102"/>
      <x:c r="D2" s="102"/>
      <x:c r="E2" s="102"/>
      <x:c r="F2" s="31"/>
    </x:row>
    <x:row r="3">
      <x:c r="A3" s="103" t="str">
        <x:v>Scoring: 1 = poor, 5 = excellent. Weights total 100%. Higher weighted score is better.</x:v>
      </x:c>
      <x:c r="B3" s="103"/>
      <x:c r="C3" s="103"/>
      <x:c r="D3" s="103"/>
      <x:c r="E3" s="103"/>
      <x:c r="F3" s="31"/>
    </x:row>
    <x:row r="4">
      <x:c r="A4" s="106"/>
      <x:c r="B4" s="106"/>
      <x:c r="C4" s="106"/>
      <x:c r="D4" s="106"/>
      <x:c r="E4" s="106"/>
      <x:c r="F4" s="31"/>
    </x:row>
    <x:row r="5">
      <x:c r="A5" s="32" t="str">
        <x:v>Criterion</x:v>
      </x:c>
      <x:c r="B5" s="32" t="str">
        <x:v>Weight</x:v>
      </x:c>
      <x:c r="C5" s="32" t="str">
        <x:v>Wired PoE IP</x:v>
      </x:c>
      <x:c r="D5" s="32" t="str">
        <x:v>Wi-Fi mains-powered</x:v>
      </x:c>
      <x:c r="E5" s="32" t="str">
        <x:v>Battery wireless</x:v>
      </x:c>
      <x:c r="F5" s="32" t="str">
        <x:v>Video doorbell</x:v>
      </x:c>
    </x:row>
    <x:row r="6">
      <x:c r="A6" s="104" t="str">
        <x:v>Reliability</x:v>
      </x:c>
      <x:c r="B6" s="105" t="n">
        <x:v>0.2</x:v>
      </x:c>
      <x:c r="C6" s="106" t="n">
        <x:v>5</x:v>
      </x:c>
      <x:c r="D6" s="106" t="n">
        <x:v>4</x:v>
      </x:c>
      <x:c r="E6" s="106" t="n">
        <x:v>3</x:v>
      </x:c>
      <x:c r="F6" s="86" t="n">
        <x:v>4</x:v>
      </x:c>
    </x:row>
    <x:row r="7">
      <x:c r="A7" s="104" t="str">
        <x:v>Video quality</x:v>
      </x:c>
      <x:c r="B7" s="105" t="n">
        <x:v>0.15</x:v>
      </x:c>
      <x:c r="C7" s="106" t="n">
        <x:v>5</x:v>
      </x:c>
      <x:c r="D7" s="106" t="n">
        <x:v>5</x:v>
      </x:c>
      <x:c r="E7" s="106" t="n">
        <x:v>4</x:v>
      </x:c>
      <x:c r="F7" s="86" t="n">
        <x:v>4</x:v>
      </x:c>
    </x:row>
    <x:row r="8">
      <x:c r="A8" s="104" t="str">
        <x:v>Latency</x:v>
      </x:c>
      <x:c r="B8" s="105" t="n">
        <x:v>0.15</x:v>
      </x:c>
      <x:c r="C8" s="106" t="n">
        <x:v>5</x:v>
      </x:c>
      <x:c r="D8" s="106" t="n">
        <x:v>4</x:v>
      </x:c>
      <x:c r="E8" s="106" t="n">
        <x:v>3</x:v>
      </x:c>
      <x:c r="F8" s="86" t="n">
        <x:v>4</x:v>
      </x:c>
    </x:row>
    <x:row r="9">
      <x:c r="A9" s="104" t="str">
        <x:v>Cybersecurity control</x:v>
      </x:c>
      <x:c r="B9" s="105" t="n">
        <x:v>0.15</x:v>
      </x:c>
      <x:c r="C9" s="106" t="n">
        <x:v>5</x:v>
      </x:c>
      <x:c r="D9" s="106" t="n">
        <x:v>4</x:v>
      </x:c>
      <x:c r="E9" s="106" t="n">
        <x:v>3</x:v>
      </x:c>
      <x:c r="F9" s="86" t="n">
        <x:v>4</x:v>
      </x:c>
    </x:row>
    <x:row r="10">
      <x:c r="A10" s="104" t="str">
        <x:v>Power continuity</x:v>
      </x:c>
      <x:c r="B10" s="105" t="n">
        <x:v>0.15</x:v>
      </x:c>
      <x:c r="C10" s="106" t="n">
        <x:v>5</x:v>
      </x:c>
      <x:c r="D10" s="106" t="n">
        <x:v>4</x:v>
      </x:c>
      <x:c r="E10" s="106" t="n">
        <x:v>3</x:v>
      </x:c>
      <x:c r="F10" s="86" t="n">
        <x:v>4</x:v>
      </x:c>
    </x:row>
    <x:row r="11">
      <x:c r="A11" s="104" t="str">
        <x:v>Installation simplicity</x:v>
      </x:c>
      <x:c r="B11" s="105" t="n">
        <x:v>0.1</x:v>
      </x:c>
      <x:c r="C11" s="106" t="n">
        <x:v>2</x:v>
      </x:c>
      <x:c r="D11" s="106" t="n">
        <x:v>4</x:v>
      </x:c>
      <x:c r="E11" s="106" t="n">
        <x:v>5</x:v>
      </x:c>
      <x:c r="F11" s="86" t="n">
        <x:v>4</x:v>
      </x:c>
    </x:row>
    <x:row r="12">
      <x:c r="A12" s="104" t="str">
        <x:v>Cost</x:v>
      </x:c>
      <x:c r="B12" s="105" t="n">
        <x:v>0.1</x:v>
      </x:c>
      <x:c r="C12" s="106" t="n">
        <x:v>3</x:v>
      </x:c>
      <x:c r="D12" s="106" t="n">
        <x:v>4</x:v>
      </x:c>
      <x:c r="E12" s="106" t="n">
        <x:v>4</x:v>
      </x:c>
      <x:c r="F12" s="86" t="n">
        <x:v>4</x:v>
      </x:c>
    </x:row>
    <x:row r="13">
      <x:c r="A13" s="106"/>
      <x:c r="B13" s="106"/>
      <x:c r="C13" s="106"/>
      <x:c r="D13" s="106"/>
      <x:c r="E13" s="106"/>
      <x:c r="F13" s="31"/>
    </x:row>
    <x:row r="14">
      <x:c r="A14" s="110" t="str">
        <x:v>Weighted score</x:v>
      </x:c>
      <x:c r="B14" s="110"/>
      <x:c r="C14" s="124" t="n">
        <x:f>($B$6*C6+$B$7*C7+$B$8*C8+$B$9*C9+$B$10*C10+$B$11*C11+$B$12*C12)/SUM($B$6:$B$12)</x:f>
        <x:v>4.5</x:v>
      </x:c>
      <x:c r="D14" s="124" t="n">
        <x:f>($B$6*D6+$B$7*D7+$B$8*D8+$B$9*D9+$B$10*D10+$B$11*D11+$B$12*D12)/SUM($B$6:$B$12)</x:f>
        <x:v>4.15</x:v>
      </x:c>
      <x:c r="E14" s="124" t="n">
        <x:f>($B$6*E6+$B$7*E7+$B$8*E8+$B$9*E9+$B$10*E10+$B$11*E11+$B$12*E12)/SUM($B$6:$B$12)</x:f>
        <x:v>3.4499999999999997</x:v>
      </x:c>
      <x:c r="F14" s="88" t="n">
        <x:f>($B$6*F6+$B$7*F7+$B$8*F8+$B$9*F9+$B$10*F10+$B$11*F11+$B$12*F12)/SUM($B$6:$B$12)</x:f>
        <x:v>4</x:v>
      </x:c>
    </x:row>
    <x:row r="15">
      <x:c r="A15" s="106"/>
      <x:c r="B15" s="106"/>
      <x:c r="C15" s="106"/>
      <x:c r="D15" s="106"/>
      <x:c r="E15" s="106"/>
      <x:c r="F15" s="31"/>
    </x:row>
    <x:row r="16">
      <x:c r="A16" s="109" t="str">
        <x:v>Selected design</x:v>
      </x:c>
      <x:c r="B16" s="109" t="str">
        <x:v>Wired PoE IP cameras</x:v>
      </x:c>
      <x:c r="C16" s="109"/>
      <x:c r="D16" s="109"/>
      <x:c r="E16" s="109"/>
      <x:c r="F16" s="89"/>
    </x:row>
    <x:row r="17">
      <x:c r="A17" s="110" t="str">
        <x:v>Selection rationale</x:v>
      </x:c>
      <x:c r="B17" s="111" t="str">
        <x:v>PoE is the best fit for the security-critical cameras because one cable carries both power and data. The design gives priority to reliability, low latency, predictable video quality, and local-network control.</x:v>
      </x:c>
      <x:c r="C17" s="111"/>
      <x:c r="D17" s="111"/>
      <x:c r="E17" s="111"/>
      <x:c r="F17" s="91"/>
    </x:row>
    <x:row r="18">
      <x:c r="A18" s="125"/>
      <x:c r="B18" s="125"/>
      <x:c r="C18" s="125"/>
      <x:c r="D18" s="125"/>
      <x:c r="E18" s="125"/>
    </x:row>
    <x:row r="19">
      <x:c r="A19" s="125"/>
      <x:c r="B19" s="125"/>
      <x:c r="C19" s="125"/>
      <x:c r="D19" s="125"/>
      <x:c r="E19" s="125"/>
    </x:row>
    <x:row r="20">
      <x:c r="A20" s="125"/>
      <x:c r="B20" s="125"/>
      <x:c r="C20" s="125"/>
      <x:c r="D20" s="125"/>
      <x:c r="E20" s="125"/>
    </x:row>
    <x:row r="21">
      <x:c r="A21" s="125"/>
      <x:c r="B21" s="125"/>
      <x:c r="C21" s="125"/>
      <x:c r="D21" s="125"/>
      <x:c r="E21" s="125"/>
    </x:row>
    <x:row r="22">
      <x:c r="A22" s="125"/>
      <x:c r="B22" s="125"/>
      <x:c r="C22" s="125"/>
      <x:c r="D22" s="125"/>
      <x:c r="E22" s="125"/>
    </x:row>
    <x:row r="23">
      <x:c r="A23" s="125"/>
      <x:c r="B23" s="125"/>
      <x:c r="C23" s="125"/>
      <x:c r="D23" s="125"/>
      <x:c r="E23" s="125"/>
    </x:row>
    <x:row r="24">
      <x:c r="A24" s="125"/>
      <x:c r="B24" s="125"/>
      <x:c r="C24" s="125"/>
      <x:c r="D24" s="125"/>
      <x:c r="E24" s="125"/>
    </x:row>
    <x:row r="25">
      <x:c r="A25" s="125"/>
      <x:c r="B25" s="125"/>
      <x:c r="C25" s="125"/>
      <x:c r="D25" s="125"/>
      <x:c r="E25" s="125"/>
    </x:row>
    <x:row r="26">
      <x:c r="A26" s="125"/>
      <x:c r="B26" s="125"/>
      <x:c r="C26" s="125"/>
      <x:c r="D26" s="125"/>
      <x:c r="E26" s="125"/>
    </x:row>
    <x:row r="27">
      <x:c r="A27" s="125"/>
      <x:c r="B27" s="125"/>
      <x:c r="C27" s="125"/>
      <x:c r="D27" s="125"/>
      <x:c r="E27" s="125"/>
    </x:row>
    <x:row r="28">
      <x:c r="A28" s="125"/>
      <x:c r="B28" s="125"/>
      <x:c r="C28" s="125"/>
      <x:c r="D28" s="125"/>
      <x:c r="E28" s="125"/>
    </x:row>
    <x:row r="29">
      <x:c r="A29" s="125"/>
      <x:c r="B29" s="125"/>
      <x:c r="C29" s="125"/>
      <x:c r="D29" s="125"/>
      <x:c r="E29" s="125"/>
    </x:row>
    <x:row r="30">
      <x:c r="A30" s="125"/>
      <x:c r="B30" s="125"/>
      <x:c r="C30" s="125"/>
      <x:c r="D30" s="125"/>
      <x:c r="E30" s="125"/>
    </x:row>
  </x:sheetData>
  <x:mergeCells>
    <x:mergeCell ref="A1:E1"/>
    <x:mergeCell ref="A3:E3"/>
    <x:mergeCell ref="B16:F16"/>
    <x:mergeCell ref="B17:F1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" hidden="0" customWidth="1"/>
    <x:col min="3" max="3" width="22" hidden="0" customWidth="1"/>
    <x:col min="4" max="4" width="22" hidden="0" customWidth="1"/>
    <x:col min="5" max="5" width="22" hidden="0" customWidth="1"/>
  </x:cols>
  <x:sheetData>
    <x:row r="1" ht="28" customHeight="1">
      <x:c r="A1" s="82" t="str">
        <x:v>Decision Matrix - Smart-Device Controller Connectivity</x:v>
      </x:c>
      <x:c r="B1" s="82"/>
      <x:c r="C1" s="82"/>
      <x:c r="D1" s="82"/>
      <x:c r="E1" s="82"/>
    </x:row>
    <x:row r="2">
      <x:c r="A2" s="102"/>
      <x:c r="B2" s="102"/>
      <x:c r="C2" s="102"/>
      <x:c r="D2" s="102"/>
      <x:c r="E2" s="102"/>
    </x:row>
    <x:row r="3">
      <x:c r="A3" s="103" t="str">
        <x:v>Scoring: 1 = poor, 5 = excellent. Weights total 100%. Higher weighted score is better.</x:v>
      </x:c>
      <x:c r="B3" s="103"/>
      <x:c r="C3" s="103"/>
      <x:c r="D3" s="103"/>
      <x:c r="E3" s="103"/>
    </x:row>
    <x:row r="4">
      <x:c r="A4" s="106"/>
      <x:c r="B4" s="106"/>
      <x:c r="C4" s="106"/>
      <x:c r="D4" s="106"/>
      <x:c r="E4" s="106"/>
    </x:row>
    <x:row r="5">
      <x:c r="A5" s="32" t="str">
        <x:v>Criterion</x:v>
      </x:c>
      <x:c r="B5" s="32" t="str">
        <x:v>Weight</x:v>
      </x:c>
      <x:c r="C5" s="32" t="str">
        <x:v>Zigbee controller</x:v>
      </x:c>
      <x:c r="D5" s="32" t="str">
        <x:v>Z-Wave controller</x:v>
      </x:c>
      <x:c r="E5" s="32" t="str">
        <x:v>Wi-Fi controller</x:v>
      </x:c>
    </x:row>
    <x:row r="6">
      <x:c r="A6" s="104" t="str">
        <x:v>Reliability</x:v>
      </x:c>
      <x:c r="B6" s="105" t="n">
        <x:v>0.2</x:v>
      </x:c>
      <x:c r="C6" s="106" t="n">
        <x:v>5</x:v>
      </x:c>
      <x:c r="D6" s="106" t="n">
        <x:v>5</x:v>
      </x:c>
      <x:c r="E6" s="106" t="n">
        <x:v>3</x:v>
      </x:c>
    </x:row>
    <x:row r="7">
      <x:c r="A7" s="104" t="str">
        <x:v>Power efficiency</x:v>
      </x:c>
      <x:c r="B7" s="105" t="n">
        <x:v>0.15</x:v>
      </x:c>
      <x:c r="C7" s="106" t="n">
        <x:v>5</x:v>
      </x:c>
      <x:c r="D7" s="106" t="n">
        <x:v>5</x:v>
      </x:c>
      <x:c r="E7" s="106" t="n">
        <x:v>2</x:v>
      </x:c>
    </x:row>
    <x:row r="8">
      <x:c r="A8" s="104" t="str">
        <x:v>Mesh / range</x:v>
      </x:c>
      <x:c r="B8" s="105" t="n">
        <x:v>0.15</x:v>
      </x:c>
      <x:c r="C8" s="106" t="n">
        <x:v>5</x:v>
      </x:c>
      <x:c r="D8" s="106" t="n">
        <x:v>5</x:v>
      </x:c>
      <x:c r="E8" s="106" t="n">
        <x:v>3</x:v>
      </x:c>
    </x:row>
    <x:row r="9">
      <x:c r="A9" s="104" t="str">
        <x:v>Security</x:v>
      </x:c>
      <x:c r="B9" s="105" t="n">
        <x:v>0.15</x:v>
      </x:c>
      <x:c r="C9" s="106" t="n">
        <x:v>4</x:v>
      </x:c>
      <x:c r="D9" s="106" t="n">
        <x:v>5</x:v>
      </x:c>
      <x:c r="E9" s="106" t="n">
        <x:v>4</x:v>
      </x:c>
    </x:row>
    <x:row r="10">
      <x:c r="A10" s="104" t="str">
        <x:v>Device ecosystem</x:v>
      </x:c>
      <x:c r="B10" s="105" t="n">
        <x:v>0.15</x:v>
      </x:c>
      <x:c r="C10" s="106" t="n">
        <x:v>5</x:v>
      </x:c>
      <x:c r="D10" s="106" t="n">
        <x:v>4</x:v>
      </x:c>
      <x:c r="E10" s="106" t="n">
        <x:v>5</x:v>
      </x:c>
    </x:row>
    <x:row r="11">
      <x:c r="A11" s="104" t="str">
        <x:v>Cost</x:v>
      </x:c>
      <x:c r="B11" s="105" t="n">
        <x:v>0.1</x:v>
      </x:c>
      <x:c r="C11" s="106" t="n">
        <x:v>5</x:v>
      </x:c>
      <x:c r="D11" s="106" t="n">
        <x:v>3</x:v>
      </x:c>
      <x:c r="E11" s="106" t="n">
        <x:v>4</x:v>
      </x:c>
    </x:row>
    <x:row r="12">
      <x:c r="A12" s="104" t="str">
        <x:v>Local control</x:v>
      </x:c>
      <x:c r="B12" s="105" t="n">
        <x:v>0.1</x:v>
      </x:c>
      <x:c r="C12" s="106" t="n">
        <x:v>5</x:v>
      </x:c>
      <x:c r="D12" s="106" t="n">
        <x:v>5</x:v>
      </x:c>
      <x:c r="E12" s="106" t="n">
        <x:v>4</x:v>
      </x:c>
    </x:row>
    <x:row r="13">
      <x:c r="A13" s="106"/>
      <x:c r="B13" s="106"/>
      <x:c r="C13" s="106"/>
      <x:c r="D13" s="106"/>
      <x:c r="E13" s="106"/>
    </x:row>
    <x:row r="14">
      <x:c r="A14" s="110" t="str">
        <x:v>Weighted score</x:v>
      </x:c>
      <x:c r="B14" s="110"/>
      <x:c r="C14" s="124" t="n">
        <x:f>($B$6*C6+$B$7*C7+$B$8*C8+$B$9*C9+$B$10*C10+$B$11*C11+$B$12*C12)/SUM($B$6:$B$12)</x:f>
        <x:v>4.85</x:v>
      </x:c>
      <x:c r="D14" s="124" t="n">
        <x:f>($B$6*D6+$B$7*D7+$B$8*D8+$B$9*D9+$B$10*D10+$B$11*D11+$B$12*D12)/SUM($B$6:$B$12)</x:f>
        <x:v>4.65</x:v>
      </x:c>
      <x:c r="E14" s="124" t="n">
        <x:f>($B$6*E6+$B$7*E7+$B$8*E8+$B$9*E9+$B$10*E10+$B$11*E11+$B$12*E12)/SUM($B$6:$B$12)</x:f>
        <x:v>3.5</x:v>
      </x:c>
    </x:row>
    <x:row r="15">
      <x:c r="A15" s="106"/>
      <x:c r="B15" s="106"/>
      <x:c r="C15" s="106"/>
      <x:c r="D15" s="106"/>
      <x:c r="E15" s="106"/>
    </x:row>
    <x:row r="16">
      <x:c r="A16" s="109" t="str">
        <x:v>Selected design</x:v>
      </x:c>
      <x:c r="B16" s="109" t="str">
        <x:v>Zigbee smart-device controllers</x:v>
      </x:c>
      <x:c r="C16" s="109"/>
      <x:c r="D16" s="109"/>
      <x:c r="E16" s="109"/>
    </x:row>
    <x:row r="17">
      <x:c r="A17" s="110" t="str">
        <x:v>Selection rationale</x:v>
      </x:c>
      <x:c r="B17" s="111" t="str">
        <x:v>Zigbee scores highest and also matches the selected sensor network. This keeps control traffic local, avoids dependence on cloud services for basic actions, and simplifies the home hub.</x:v>
      </x:c>
      <x:c r="C17" s="111"/>
      <x:c r="D17" s="111"/>
      <x:c r="E17" s="111"/>
    </x:row>
    <x:row r="18">
      <x:c r="A18" s="125"/>
      <x:c r="B18" s="125"/>
      <x:c r="C18" s="125"/>
      <x:c r="D18" s="125"/>
      <x:c r="E18" s="125"/>
    </x:row>
    <x:row r="19">
      <x:c r="A19" s="125"/>
      <x:c r="B19" s="125"/>
      <x:c r="C19" s="125"/>
      <x:c r="D19" s="125"/>
      <x:c r="E19" s="125"/>
    </x:row>
    <x:row r="20">
      <x:c r="A20" s="125"/>
      <x:c r="B20" s="125"/>
      <x:c r="C20" s="125"/>
      <x:c r="D20" s="125"/>
      <x:c r="E20" s="125"/>
    </x:row>
    <x:row r="21">
      <x:c r="A21" s="125"/>
      <x:c r="B21" s="125"/>
      <x:c r="C21" s="125"/>
      <x:c r="D21" s="125"/>
      <x:c r="E21" s="125"/>
    </x:row>
    <x:row r="22">
      <x:c r="A22" s="125"/>
      <x:c r="B22" s="125"/>
      <x:c r="C22" s="125"/>
      <x:c r="D22" s="125"/>
      <x:c r="E22" s="125"/>
    </x:row>
    <x:row r="23">
      <x:c r="A23" s="125"/>
      <x:c r="B23" s="125"/>
      <x:c r="C23" s="125"/>
      <x:c r="D23" s="125"/>
      <x:c r="E23" s="125"/>
    </x:row>
    <x:row r="24">
      <x:c r="A24" s="125"/>
      <x:c r="B24" s="125"/>
      <x:c r="C24" s="125"/>
      <x:c r="D24" s="125"/>
      <x:c r="E24" s="125"/>
    </x:row>
    <x:row r="25">
      <x:c r="A25" s="125"/>
      <x:c r="B25" s="125"/>
      <x:c r="C25" s="125"/>
      <x:c r="D25" s="125"/>
      <x:c r="E25" s="125"/>
    </x:row>
    <x:row r="26">
      <x:c r="A26" s="125"/>
      <x:c r="B26" s="125"/>
      <x:c r="C26" s="125"/>
      <x:c r="D26" s="125"/>
      <x:c r="E26" s="125"/>
    </x:row>
    <x:row r="27">
      <x:c r="A27" s="125"/>
      <x:c r="B27" s="125"/>
      <x:c r="C27" s="125"/>
      <x:c r="D27" s="125"/>
      <x:c r="E27" s="125"/>
    </x:row>
    <x:row r="28">
      <x:c r="A28" s="125"/>
      <x:c r="B28" s="125"/>
      <x:c r="C28" s="125"/>
      <x:c r="D28" s="125"/>
      <x:c r="E28" s="125"/>
    </x:row>
    <x:row r="29">
      <x:c r="A29" s="125"/>
      <x:c r="B29" s="125"/>
      <x:c r="C29" s="125"/>
      <x:c r="D29" s="125"/>
      <x:c r="E29" s="125"/>
    </x:row>
    <x:row r="30">
      <x:c r="A30" s="125"/>
      <x:c r="B30" s="125"/>
      <x:c r="C30" s="125"/>
      <x:c r="D30" s="125"/>
      <x:c r="E30" s="125"/>
    </x:row>
  </x:sheetData>
  <x:mergeCells>
    <x:mergeCell ref="A1:E1"/>
    <x:mergeCell ref="A3:E3"/>
    <x:mergeCell ref="B16:E16"/>
    <x:mergeCell ref="B17:E17"/>
  </x:mergeCells>
  <x:pageMargins left="0.7" right="0.7" top="0.75" bottom="0.75" header="0.3" footer="0.3"/>
</x:worksheet>
</file>